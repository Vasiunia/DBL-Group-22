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BEYA\Downloads\"/>
    </mc:Choice>
  </mc:AlternateContent>
  <xr:revisionPtr revIDLastSave="0" documentId="13_ncr:1_{0F76C7F0-C11C-4741-955B-34F9E7660957}" xr6:coauthVersionLast="47" xr6:coauthVersionMax="47" xr10:uidLastSave="{00000000-0000-0000-0000-000000000000}"/>
  <bookViews>
    <workbookView xWindow="-96" yWindow="-96" windowWidth="23232" windowHeight="13872" xr2:uid="{95889BE7-A7FD-4A03-990B-31757FB71D0D}"/>
  </bookViews>
  <sheets>
    <sheet name="Floods_affected_People" sheetId="1" r:id="rId1"/>
    <sheet name="State_Summary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</calcChain>
</file>

<file path=xl/sharedStrings.xml><?xml version="1.0" encoding="utf-8"?>
<sst xmlns="http://schemas.openxmlformats.org/spreadsheetml/2006/main" count="192" uniqueCount="116">
  <si>
    <t>Admin1</t>
  </si>
  <si>
    <t>Admin1_Pcode</t>
  </si>
  <si>
    <t>Admin2</t>
  </si>
  <si>
    <t>Admin2_Pcode</t>
  </si>
  <si>
    <t>People_Affected</t>
  </si>
  <si>
    <t>Abyei Administrative Area</t>
  </si>
  <si>
    <t>SS00</t>
  </si>
  <si>
    <t>SS0001</t>
  </si>
  <si>
    <t>Central Equatoria</t>
  </si>
  <si>
    <t>SS01</t>
  </si>
  <si>
    <t>Juba</t>
  </si>
  <si>
    <t>SS0101</t>
  </si>
  <si>
    <t>Terekeka</t>
  </si>
  <si>
    <t>SS0105</t>
  </si>
  <si>
    <t>Eastern Equatoria</t>
  </si>
  <si>
    <t>SS02</t>
  </si>
  <si>
    <t>Lafon</t>
  </si>
  <si>
    <t>SS0206</t>
  </si>
  <si>
    <t>Jonglei</t>
  </si>
  <si>
    <t>SS03</t>
  </si>
  <si>
    <t>Akobo</t>
  </si>
  <si>
    <t>SS0301</t>
  </si>
  <si>
    <t>Ayod</t>
  </si>
  <si>
    <t>SS0302</t>
  </si>
  <si>
    <t>Bor South</t>
  </si>
  <si>
    <t>SS0303</t>
  </si>
  <si>
    <t>Canal/Pigi</t>
  </si>
  <si>
    <t>SS0304</t>
  </si>
  <si>
    <t>Duk</t>
  </si>
  <si>
    <t>SS0305</t>
  </si>
  <si>
    <t>Fangak</t>
  </si>
  <si>
    <t>SS0306</t>
  </si>
  <si>
    <t>Nyirol</t>
  </si>
  <si>
    <t>SS0307</t>
  </si>
  <si>
    <t>Pibor</t>
  </si>
  <si>
    <t>SS0308</t>
  </si>
  <si>
    <t>Pochalla</t>
  </si>
  <si>
    <t>SS0309</t>
  </si>
  <si>
    <t>Twic East</t>
  </si>
  <si>
    <t>SS0310</t>
  </si>
  <si>
    <t>Uror</t>
  </si>
  <si>
    <t>SS0311</t>
  </si>
  <si>
    <t>Lakes</t>
  </si>
  <si>
    <t>SS04</t>
  </si>
  <si>
    <t>Cueibet</t>
  </si>
  <si>
    <t>SS0402</t>
  </si>
  <si>
    <t>Rumbek East</t>
  </si>
  <si>
    <t>SS0404</t>
  </si>
  <si>
    <t>Northern Bahr el Ghazal</t>
  </si>
  <si>
    <t>SS05</t>
  </si>
  <si>
    <t>Aweil Centre</t>
  </si>
  <si>
    <t>SS0501</t>
  </si>
  <si>
    <t>Aweil East</t>
  </si>
  <si>
    <t>SS0502</t>
  </si>
  <si>
    <t>Aweil North</t>
  </si>
  <si>
    <t>SS0503</t>
  </si>
  <si>
    <t>Aweil South</t>
  </si>
  <si>
    <t>SS0504</t>
  </si>
  <si>
    <t>Aweil West</t>
  </si>
  <si>
    <t>SS0505</t>
  </si>
  <si>
    <t>Unity</t>
  </si>
  <si>
    <t>SS06</t>
  </si>
  <si>
    <t>Guit</t>
  </si>
  <si>
    <t>SS0602</t>
  </si>
  <si>
    <t>Koch</t>
  </si>
  <si>
    <t>SS0603</t>
  </si>
  <si>
    <t>Leer</t>
  </si>
  <si>
    <t>SS0604</t>
  </si>
  <si>
    <t>Mayendit</t>
  </si>
  <si>
    <t>SS0605</t>
  </si>
  <si>
    <t>Mayom</t>
  </si>
  <si>
    <t>SS0606</t>
  </si>
  <si>
    <t>Panyijiar</t>
  </si>
  <si>
    <t>SS0607</t>
  </si>
  <si>
    <t>Rubkona</t>
  </si>
  <si>
    <t>SS0609</t>
  </si>
  <si>
    <t>Upper Nile</t>
  </si>
  <si>
    <t>SS07</t>
  </si>
  <si>
    <t>Fashoda</t>
  </si>
  <si>
    <t>SS0702</t>
  </si>
  <si>
    <t>Luakpiny/Nasir</t>
  </si>
  <si>
    <t>SS0704</t>
  </si>
  <si>
    <t>Maiwut</t>
  </si>
  <si>
    <t>SS0706</t>
  </si>
  <si>
    <t>Manyo</t>
  </si>
  <si>
    <t>SS0708</t>
  </si>
  <si>
    <t>Panyikang</t>
  </si>
  <si>
    <t>SS0710</t>
  </si>
  <si>
    <t>Warrap</t>
  </si>
  <si>
    <t>SS08</t>
  </si>
  <si>
    <t>Gogrial East</t>
  </si>
  <si>
    <t>SS0801</t>
  </si>
  <si>
    <t>Gogrial West</t>
  </si>
  <si>
    <t>SS0802</t>
  </si>
  <si>
    <t>Tonj East</t>
  </si>
  <si>
    <t>SS0803</t>
  </si>
  <si>
    <t>Tonj North</t>
  </si>
  <si>
    <t>SS0804</t>
  </si>
  <si>
    <t>Tonj South</t>
  </si>
  <si>
    <t>SS0805</t>
  </si>
  <si>
    <t>Twic</t>
  </si>
  <si>
    <t>SS0806</t>
  </si>
  <si>
    <t>Western Bahr el Ghazal</t>
  </si>
  <si>
    <t>SS09</t>
  </si>
  <si>
    <t>Jur River</t>
  </si>
  <si>
    <t>SS0901</t>
  </si>
  <si>
    <t>Western Equatoria</t>
  </si>
  <si>
    <t>SS10</t>
  </si>
  <si>
    <t>Mundri West</t>
  </si>
  <si>
    <t>SS1005</t>
  </si>
  <si>
    <t>Nzara</t>
  </si>
  <si>
    <t>SS1008</t>
  </si>
  <si>
    <t>Total</t>
  </si>
  <si>
    <t>Grand Total</t>
  </si>
  <si>
    <t>Sum of People_Affected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</si>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</sst>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164" fontId="2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7">
    <dxf>
      <numFmt numFmtId="164" formatCode="_-* #,##0_-;\-* #,##0_-;_-* &quot;-&quot;??_-;_-@_-"/>
    </dxf>
    <dxf>
      <numFmt numFmtId="165" formatCode="_-* #,##0.0_-;\-* #,##0.0_-;_-* &quot;-&quot;??_-;_-@_-"/>
    </dxf>
    <dxf>
      <numFmt numFmtId="164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Ad Abeya" refreshedDate="45653.441529629628" createdVersion="8" refreshedVersion="8" minRefreshableVersion="3" recordCount="43" xr:uid="{971E66DA-B045-4C34-A8C6-7FE17842B119}">
  <cacheSource type="worksheet">
    <worksheetSource name="Table1"/>
  </cacheSource>
  <cacheFields count="5">
    <cacheField name="Admin1" numFmtId="0">
      <sharedItems count="12">
        <s v="Abyei Administrative Area"/>
        <s v="Central Equatoria"/>
        <s v="Eastern Equatoria"/>
        <s v="Jonglei"/>
        <s v="Lakes"/>
        <s v="Northern Bahr el Ghazal"/>
        <s v="Unity"/>
        <s v="Upper Nile"/>
        <s v="Warrap"/>
        <s v="Western Bahr el Ghazal"/>
        <s v="Western Equatoria"/>
        <s v="Total" u="1"/>
      </sharedItems>
    </cacheField>
    <cacheField name="Admin1_Pcode" numFmtId="0">
      <sharedItems/>
    </cacheField>
    <cacheField name="Admin2" numFmtId="0">
      <sharedItems/>
    </cacheField>
    <cacheField name="Admin2_Pcode" numFmtId="0">
      <sharedItems/>
    </cacheField>
    <cacheField name="People_Affected" numFmtId="0">
      <sharedItems containsSemiMixedTypes="0" containsString="0" containsNumber="1" containsInteger="1" minValue="0" maxValue="154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s v="SS00"/>
    <s v="Abyei Administrative Area"/>
    <s v="SS0001"/>
    <n v="24468"/>
  </r>
  <r>
    <x v="1"/>
    <s v="SS01"/>
    <s v="Juba"/>
    <s v="SS0101"/>
    <n v="13320"/>
  </r>
  <r>
    <x v="1"/>
    <s v="SS01"/>
    <s v="Terekeka"/>
    <s v="SS0105"/>
    <n v="8503"/>
  </r>
  <r>
    <x v="2"/>
    <s v="SS02"/>
    <s v="Lafon"/>
    <s v="SS0206"/>
    <n v="18178"/>
  </r>
  <r>
    <x v="3"/>
    <s v="SS03"/>
    <s v="Akobo"/>
    <s v="SS0301"/>
    <n v="97730"/>
  </r>
  <r>
    <x v="3"/>
    <s v="SS03"/>
    <s v="Ayod"/>
    <s v="SS0302"/>
    <n v="26700"/>
  </r>
  <r>
    <x v="3"/>
    <s v="SS03"/>
    <s v="Bor South"/>
    <s v="SS0303"/>
    <n v="2946"/>
  </r>
  <r>
    <x v="3"/>
    <s v="SS03"/>
    <s v="Canal/Pigi"/>
    <s v="SS0304"/>
    <n v="39971"/>
  </r>
  <r>
    <x v="3"/>
    <s v="SS03"/>
    <s v="Duk"/>
    <s v="SS0305"/>
    <n v="16771"/>
  </r>
  <r>
    <x v="3"/>
    <s v="SS03"/>
    <s v="Fangak"/>
    <s v="SS0306"/>
    <n v="154005"/>
  </r>
  <r>
    <x v="3"/>
    <s v="SS03"/>
    <s v="Nyirol"/>
    <s v="SS0307"/>
    <n v="0"/>
  </r>
  <r>
    <x v="3"/>
    <s v="SS03"/>
    <s v="Pibor"/>
    <s v="SS0308"/>
    <n v="0"/>
  </r>
  <r>
    <x v="3"/>
    <s v="SS03"/>
    <s v="Pochalla"/>
    <s v="SS0309"/>
    <n v="15335"/>
  </r>
  <r>
    <x v="3"/>
    <s v="SS03"/>
    <s v="Twic East"/>
    <s v="SS0310"/>
    <n v="55349"/>
  </r>
  <r>
    <x v="3"/>
    <s v="SS03"/>
    <s v="Uror"/>
    <s v="SS0311"/>
    <n v="24516"/>
  </r>
  <r>
    <x v="4"/>
    <s v="SS04"/>
    <s v="Cueibet"/>
    <s v="SS0402"/>
    <n v="52395"/>
  </r>
  <r>
    <x v="4"/>
    <s v="SS04"/>
    <s v="Rumbek East"/>
    <s v="SS0404"/>
    <n v="93459"/>
  </r>
  <r>
    <x v="5"/>
    <s v="SS05"/>
    <s v="Aweil Centre"/>
    <s v="SS0501"/>
    <n v="48864"/>
  </r>
  <r>
    <x v="5"/>
    <s v="SS05"/>
    <s v="Aweil East"/>
    <s v="SS0502"/>
    <n v="91128"/>
  </r>
  <r>
    <x v="5"/>
    <s v="SS05"/>
    <s v="Aweil North"/>
    <s v="SS0503"/>
    <n v="30846"/>
  </r>
  <r>
    <x v="5"/>
    <s v="SS05"/>
    <s v="Aweil South"/>
    <s v="SS0504"/>
    <n v="85302"/>
  </r>
  <r>
    <x v="5"/>
    <s v="SS05"/>
    <s v="Aweil West"/>
    <s v="SS0505"/>
    <n v="30168"/>
  </r>
  <r>
    <x v="6"/>
    <s v="SS06"/>
    <s v="Guit"/>
    <s v="SS0602"/>
    <n v="5010"/>
  </r>
  <r>
    <x v="6"/>
    <s v="SS06"/>
    <s v="Koch"/>
    <s v="SS0603"/>
    <n v="36278"/>
  </r>
  <r>
    <x v="6"/>
    <s v="SS06"/>
    <s v="Leer"/>
    <s v="SS0604"/>
    <n v="6611"/>
  </r>
  <r>
    <x v="6"/>
    <s v="SS06"/>
    <s v="Mayendit"/>
    <s v="SS0605"/>
    <n v="23963"/>
  </r>
  <r>
    <x v="6"/>
    <s v="SS06"/>
    <s v="Mayom"/>
    <s v="SS0606"/>
    <n v="42844"/>
  </r>
  <r>
    <x v="6"/>
    <s v="SS06"/>
    <s v="Panyijiar"/>
    <s v="SS0607"/>
    <n v="56318"/>
  </r>
  <r>
    <x v="6"/>
    <s v="SS06"/>
    <s v="Rubkona"/>
    <s v="SS0609"/>
    <n v="28000"/>
  </r>
  <r>
    <x v="7"/>
    <s v="SS07"/>
    <s v="Fashoda"/>
    <s v="SS0702"/>
    <n v="2620"/>
  </r>
  <r>
    <x v="7"/>
    <s v="SS07"/>
    <s v="Luakpiny/Nasir"/>
    <s v="SS0704"/>
    <n v="13800"/>
  </r>
  <r>
    <x v="7"/>
    <s v="SS07"/>
    <s v="Maiwut"/>
    <s v="SS0706"/>
    <n v="24213"/>
  </r>
  <r>
    <x v="7"/>
    <s v="SS07"/>
    <s v="Manyo"/>
    <s v="SS0708"/>
    <n v="19236"/>
  </r>
  <r>
    <x v="7"/>
    <s v="SS07"/>
    <s v="Panyikang"/>
    <s v="SS0710"/>
    <n v="39680"/>
  </r>
  <r>
    <x v="8"/>
    <s v="SS08"/>
    <s v="Gogrial East"/>
    <s v="SS0801"/>
    <n v="25218"/>
  </r>
  <r>
    <x v="8"/>
    <s v="SS08"/>
    <s v="Gogrial West"/>
    <s v="SS0802"/>
    <n v="48828"/>
  </r>
  <r>
    <x v="8"/>
    <s v="SS08"/>
    <s v="Tonj East"/>
    <s v="SS0803"/>
    <n v="15000"/>
  </r>
  <r>
    <x v="8"/>
    <s v="SS08"/>
    <s v="Tonj North"/>
    <s v="SS0804"/>
    <n v="30000"/>
  </r>
  <r>
    <x v="8"/>
    <s v="SS08"/>
    <s v="Tonj South"/>
    <s v="SS0805"/>
    <n v="15600"/>
  </r>
  <r>
    <x v="8"/>
    <s v="SS08"/>
    <s v="Twic"/>
    <s v="SS0806"/>
    <n v="24000"/>
  </r>
  <r>
    <x v="9"/>
    <s v="SS09"/>
    <s v="Jur River"/>
    <s v="SS0901"/>
    <n v="26850"/>
  </r>
  <r>
    <x v="10"/>
    <s v="SS10"/>
    <s v="Mundri West"/>
    <s v="SS1005"/>
    <n v="1530"/>
  </r>
  <r>
    <x v="10"/>
    <s v="SS10"/>
    <s v="Nzara"/>
    <s v="SS1008"/>
    <n v="1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67878-4C59-4E76-A07E-7EE7ADCF2AC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B15" firstHeaderRow="1" firstDataRow="1" firstDataCol="1"/>
  <pivotFields count="5">
    <pivotField axis="axisRow" showAll="0">
      <items count="13">
        <item x="0"/>
        <item x="1"/>
        <item x="2"/>
        <item x="3"/>
        <item x="4"/>
        <item x="5"/>
        <item m="1" x="11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eople_Affected" fld="4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9FCD7-DE68-4130-90D7-9C451561044C}" name="Table1" displayName="Table1" ref="A1:E44" totalsRowShown="0" headerRowDxfId="6">
  <autoFilter ref="A1:E44" xr:uid="{ECA20501-0AB3-4552-8B30-CB4501685EF1}"/>
  <tableColumns count="5">
    <tableColumn id="1" xr3:uid="{6C22526F-6EE1-4BF9-947C-5653AD274754}" name="Admin1"/>
    <tableColumn id="2" xr3:uid="{A34089B7-A69F-4DA5-8C27-0DE23AE14CC7}" name="Admin1_Pcode"/>
    <tableColumn id="3" xr3:uid="{3B2DE9FF-F08E-478F-B82A-EDE21E927EDE}" name="Admin2"/>
    <tableColumn id="4" xr3:uid="{31EE5440-A24D-413F-887D-CF6E513C620E}" name="Admin2_Pcode"/>
    <tableColumn id="5" xr3:uid="{BDA7AD6C-8C48-4A3A-B5A4-607172525171}" name="People_Affected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EF78-74A7-4A28-8546-F0B7102235B4}">
  <dimension ref="A1:E46"/>
  <sheetViews>
    <sheetView tabSelected="1" topLeftCell="A9" workbookViewId="0">
      <selection activeCell="G9" sqref="G9"/>
    </sheetView>
  </sheetViews>
  <sheetFormatPr defaultRowHeight="14.4" x14ac:dyDescent="0.55000000000000004"/>
  <cols>
    <col min="1" max="1" width="21.7890625" customWidth="1"/>
    <col min="2" max="2" width="16.05078125" customWidth="1"/>
    <col min="3" max="3" width="13.3671875" customWidth="1"/>
    <col min="4" max="4" width="17.89453125" customWidth="1"/>
    <col min="5" max="5" width="17.5234375" customWidth="1"/>
  </cols>
  <sheetData>
    <row r="1" spans="1:5" ht="21.3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 t="s">
        <v>5</v>
      </c>
      <c r="D2" t="s">
        <v>7</v>
      </c>
      <c r="E2" s="7">
        <v>24468</v>
      </c>
    </row>
    <row r="3" spans="1:5" x14ac:dyDescent="0.55000000000000004">
      <c r="A3" t="s">
        <v>8</v>
      </c>
      <c r="B3" t="s">
        <v>9</v>
      </c>
      <c r="C3" t="s">
        <v>10</v>
      </c>
      <c r="D3" t="s">
        <v>11</v>
      </c>
      <c r="E3" s="7">
        <v>13320</v>
      </c>
    </row>
    <row r="4" spans="1:5" x14ac:dyDescent="0.55000000000000004">
      <c r="A4" t="s">
        <v>8</v>
      </c>
      <c r="B4" t="s">
        <v>9</v>
      </c>
      <c r="C4" t="s">
        <v>12</v>
      </c>
      <c r="D4" t="s">
        <v>13</v>
      </c>
      <c r="E4" s="7">
        <v>8503</v>
      </c>
    </row>
    <row r="5" spans="1:5" x14ac:dyDescent="0.55000000000000004">
      <c r="A5" t="s">
        <v>14</v>
      </c>
      <c r="B5" t="s">
        <v>15</v>
      </c>
      <c r="C5" t="s">
        <v>16</v>
      </c>
      <c r="D5" t="s">
        <v>17</v>
      </c>
      <c r="E5" s="7">
        <v>18178</v>
      </c>
    </row>
    <row r="6" spans="1:5" x14ac:dyDescent="0.55000000000000004">
      <c r="A6" t="s">
        <v>18</v>
      </c>
      <c r="B6" t="s">
        <v>19</v>
      </c>
      <c r="C6" t="s">
        <v>20</v>
      </c>
      <c r="D6" t="s">
        <v>21</v>
      </c>
      <c r="E6" s="7">
        <v>97730</v>
      </c>
    </row>
    <row r="7" spans="1:5" x14ac:dyDescent="0.55000000000000004">
      <c r="A7" t="s">
        <v>18</v>
      </c>
      <c r="B7" t="s">
        <v>19</v>
      </c>
      <c r="C7" t="s">
        <v>22</v>
      </c>
      <c r="D7" t="s">
        <v>23</v>
      </c>
      <c r="E7" s="7">
        <v>26700</v>
      </c>
    </row>
    <row r="8" spans="1:5" x14ac:dyDescent="0.55000000000000004">
      <c r="A8" t="s">
        <v>18</v>
      </c>
      <c r="B8" t="s">
        <v>19</v>
      </c>
      <c r="C8" t="s">
        <v>24</v>
      </c>
      <c r="D8" t="s">
        <v>25</v>
      </c>
      <c r="E8" s="7">
        <v>2946</v>
      </c>
    </row>
    <row r="9" spans="1:5" x14ac:dyDescent="0.55000000000000004">
      <c r="A9" t="s">
        <v>18</v>
      </c>
      <c r="B9" t="s">
        <v>19</v>
      </c>
      <c r="C9" t="s">
        <v>26</v>
      </c>
      <c r="D9" t="s">
        <v>27</v>
      </c>
      <c r="E9" s="7">
        <v>39971</v>
      </c>
    </row>
    <row r="10" spans="1:5" x14ac:dyDescent="0.55000000000000004">
      <c r="A10" t="s">
        <v>18</v>
      </c>
      <c r="B10" t="s">
        <v>19</v>
      </c>
      <c r="C10" t="s">
        <v>28</v>
      </c>
      <c r="D10" t="s">
        <v>29</v>
      </c>
      <c r="E10" s="7">
        <v>16771</v>
      </c>
    </row>
    <row r="11" spans="1:5" x14ac:dyDescent="0.55000000000000004">
      <c r="A11" t="s">
        <v>18</v>
      </c>
      <c r="B11" t="s">
        <v>19</v>
      </c>
      <c r="C11" t="s">
        <v>30</v>
      </c>
      <c r="D11" t="s">
        <v>31</v>
      </c>
      <c r="E11" s="7">
        <v>154005</v>
      </c>
    </row>
    <row r="12" spans="1:5" x14ac:dyDescent="0.55000000000000004">
      <c r="A12" t="s">
        <v>18</v>
      </c>
      <c r="B12" t="s">
        <v>19</v>
      </c>
      <c r="C12" t="s">
        <v>32</v>
      </c>
      <c r="D12" t="s">
        <v>33</v>
      </c>
      <c r="E12" s="7">
        <v>0</v>
      </c>
    </row>
    <row r="13" spans="1:5" x14ac:dyDescent="0.55000000000000004">
      <c r="A13" t="s">
        <v>18</v>
      </c>
      <c r="B13" t="s">
        <v>19</v>
      </c>
      <c r="C13" t="s">
        <v>34</v>
      </c>
      <c r="D13" t="s">
        <v>35</v>
      </c>
      <c r="E13" s="7">
        <v>0</v>
      </c>
    </row>
    <row r="14" spans="1:5" x14ac:dyDescent="0.55000000000000004">
      <c r="A14" t="s">
        <v>18</v>
      </c>
      <c r="B14" t="s">
        <v>19</v>
      </c>
      <c r="C14" t="s">
        <v>36</v>
      </c>
      <c r="D14" t="s">
        <v>37</v>
      </c>
      <c r="E14" s="7">
        <v>15335</v>
      </c>
    </row>
    <row r="15" spans="1:5" x14ac:dyDescent="0.55000000000000004">
      <c r="A15" t="s">
        <v>18</v>
      </c>
      <c r="B15" t="s">
        <v>19</v>
      </c>
      <c r="C15" t="s">
        <v>38</v>
      </c>
      <c r="D15" t="s">
        <v>39</v>
      </c>
      <c r="E15" s="7">
        <v>55349</v>
      </c>
    </row>
    <row r="16" spans="1:5" x14ac:dyDescent="0.55000000000000004">
      <c r="A16" t="s">
        <v>18</v>
      </c>
      <c r="B16" t="s">
        <v>19</v>
      </c>
      <c r="C16" t="s">
        <v>40</v>
      </c>
      <c r="D16" t="s">
        <v>41</v>
      </c>
      <c r="E16" s="7">
        <v>24516</v>
      </c>
    </row>
    <row r="17" spans="1:5" x14ac:dyDescent="0.55000000000000004">
      <c r="A17" t="s">
        <v>42</v>
      </c>
      <c r="B17" t="s">
        <v>43</v>
      </c>
      <c r="C17" t="s">
        <v>44</v>
      </c>
      <c r="D17" t="s">
        <v>45</v>
      </c>
      <c r="E17" s="7">
        <v>52395</v>
      </c>
    </row>
    <row r="18" spans="1:5" x14ac:dyDescent="0.55000000000000004">
      <c r="A18" t="s">
        <v>42</v>
      </c>
      <c r="B18" t="s">
        <v>43</v>
      </c>
      <c r="C18" t="s">
        <v>46</v>
      </c>
      <c r="D18" t="s">
        <v>47</v>
      </c>
      <c r="E18" s="7">
        <v>93459</v>
      </c>
    </row>
    <row r="19" spans="1:5" x14ac:dyDescent="0.55000000000000004">
      <c r="A19" t="s">
        <v>48</v>
      </c>
      <c r="B19" t="s">
        <v>49</v>
      </c>
      <c r="C19" t="s">
        <v>50</v>
      </c>
      <c r="D19" t="s">
        <v>51</v>
      </c>
      <c r="E19" s="7">
        <v>48864</v>
      </c>
    </row>
    <row r="20" spans="1:5" x14ac:dyDescent="0.55000000000000004">
      <c r="A20" t="s">
        <v>48</v>
      </c>
      <c r="B20" t="s">
        <v>49</v>
      </c>
      <c r="C20" t="s">
        <v>52</v>
      </c>
      <c r="D20" t="s">
        <v>53</v>
      </c>
      <c r="E20" s="7">
        <v>91128</v>
      </c>
    </row>
    <row r="21" spans="1:5" x14ac:dyDescent="0.55000000000000004">
      <c r="A21" t="s">
        <v>48</v>
      </c>
      <c r="B21" t="s">
        <v>49</v>
      </c>
      <c r="C21" t="s">
        <v>54</v>
      </c>
      <c r="D21" t="s">
        <v>55</v>
      </c>
      <c r="E21" s="7">
        <v>30846</v>
      </c>
    </row>
    <row r="22" spans="1:5" x14ac:dyDescent="0.55000000000000004">
      <c r="A22" t="s">
        <v>48</v>
      </c>
      <c r="B22" t="s">
        <v>49</v>
      </c>
      <c r="C22" t="s">
        <v>56</v>
      </c>
      <c r="D22" t="s">
        <v>57</v>
      </c>
      <c r="E22" s="7">
        <v>85302</v>
      </c>
    </row>
    <row r="23" spans="1:5" x14ac:dyDescent="0.55000000000000004">
      <c r="A23" t="s">
        <v>48</v>
      </c>
      <c r="B23" t="s">
        <v>49</v>
      </c>
      <c r="C23" t="s">
        <v>58</v>
      </c>
      <c r="D23" t="s">
        <v>59</v>
      </c>
      <c r="E23" s="7">
        <v>30168</v>
      </c>
    </row>
    <row r="24" spans="1:5" x14ac:dyDescent="0.55000000000000004">
      <c r="A24" t="s">
        <v>60</v>
      </c>
      <c r="B24" t="s">
        <v>61</v>
      </c>
      <c r="C24" t="s">
        <v>62</v>
      </c>
      <c r="D24" t="s">
        <v>63</v>
      </c>
      <c r="E24" s="7">
        <v>5010</v>
      </c>
    </row>
    <row r="25" spans="1:5" x14ac:dyDescent="0.55000000000000004">
      <c r="A25" t="s">
        <v>60</v>
      </c>
      <c r="B25" t="s">
        <v>61</v>
      </c>
      <c r="C25" t="s">
        <v>64</v>
      </c>
      <c r="D25" t="s">
        <v>65</v>
      </c>
      <c r="E25" s="7">
        <v>36278</v>
      </c>
    </row>
    <row r="26" spans="1:5" x14ac:dyDescent="0.55000000000000004">
      <c r="A26" t="s">
        <v>60</v>
      </c>
      <c r="B26" t="s">
        <v>61</v>
      </c>
      <c r="C26" t="s">
        <v>66</v>
      </c>
      <c r="D26" t="s">
        <v>67</v>
      </c>
      <c r="E26" s="7">
        <v>6611</v>
      </c>
    </row>
    <row r="27" spans="1:5" x14ac:dyDescent="0.55000000000000004">
      <c r="A27" t="s">
        <v>60</v>
      </c>
      <c r="B27" t="s">
        <v>61</v>
      </c>
      <c r="C27" t="s">
        <v>68</v>
      </c>
      <c r="D27" t="s">
        <v>69</v>
      </c>
      <c r="E27" s="7">
        <v>23963</v>
      </c>
    </row>
    <row r="28" spans="1:5" x14ac:dyDescent="0.55000000000000004">
      <c r="A28" t="s">
        <v>60</v>
      </c>
      <c r="B28" t="s">
        <v>61</v>
      </c>
      <c r="C28" t="s">
        <v>70</v>
      </c>
      <c r="D28" t="s">
        <v>71</v>
      </c>
      <c r="E28" s="7">
        <v>42844</v>
      </c>
    </row>
    <row r="29" spans="1:5" x14ac:dyDescent="0.55000000000000004">
      <c r="A29" t="s">
        <v>60</v>
      </c>
      <c r="B29" t="s">
        <v>61</v>
      </c>
      <c r="C29" t="s">
        <v>72</v>
      </c>
      <c r="D29" t="s">
        <v>73</v>
      </c>
      <c r="E29" s="7">
        <v>56318</v>
      </c>
    </row>
    <row r="30" spans="1:5" x14ac:dyDescent="0.55000000000000004">
      <c r="A30" t="s">
        <v>60</v>
      </c>
      <c r="B30" t="s">
        <v>61</v>
      </c>
      <c r="C30" t="s">
        <v>74</v>
      </c>
      <c r="D30" t="s">
        <v>75</v>
      </c>
      <c r="E30" s="7">
        <v>28000</v>
      </c>
    </row>
    <row r="31" spans="1:5" x14ac:dyDescent="0.55000000000000004">
      <c r="A31" t="s">
        <v>76</v>
      </c>
      <c r="B31" t="s">
        <v>77</v>
      </c>
      <c r="C31" t="s">
        <v>78</v>
      </c>
      <c r="D31" t="s">
        <v>79</v>
      </c>
      <c r="E31" s="7">
        <v>2620</v>
      </c>
    </row>
    <row r="32" spans="1:5" x14ac:dyDescent="0.55000000000000004">
      <c r="A32" t="s">
        <v>76</v>
      </c>
      <c r="B32" t="s">
        <v>77</v>
      </c>
      <c r="C32" t="s">
        <v>80</v>
      </c>
      <c r="D32" t="s">
        <v>81</v>
      </c>
      <c r="E32" s="7">
        <v>13800</v>
      </c>
    </row>
    <row r="33" spans="1:5" x14ac:dyDescent="0.55000000000000004">
      <c r="A33" t="s">
        <v>76</v>
      </c>
      <c r="B33" t="s">
        <v>77</v>
      </c>
      <c r="C33" t="s">
        <v>82</v>
      </c>
      <c r="D33" t="s">
        <v>83</v>
      </c>
      <c r="E33" s="7">
        <v>24213</v>
      </c>
    </row>
    <row r="34" spans="1:5" x14ac:dyDescent="0.55000000000000004">
      <c r="A34" t="s">
        <v>76</v>
      </c>
      <c r="B34" t="s">
        <v>77</v>
      </c>
      <c r="C34" t="s">
        <v>84</v>
      </c>
      <c r="D34" t="s">
        <v>85</v>
      </c>
      <c r="E34" s="7">
        <v>19236</v>
      </c>
    </row>
    <row r="35" spans="1:5" x14ac:dyDescent="0.55000000000000004">
      <c r="A35" t="s">
        <v>76</v>
      </c>
      <c r="B35" t="s">
        <v>77</v>
      </c>
      <c r="C35" t="s">
        <v>86</v>
      </c>
      <c r="D35" t="s">
        <v>87</v>
      </c>
      <c r="E35" s="7">
        <v>39680</v>
      </c>
    </row>
    <row r="36" spans="1:5" x14ac:dyDescent="0.55000000000000004">
      <c r="A36" t="s">
        <v>88</v>
      </c>
      <c r="B36" t="s">
        <v>89</v>
      </c>
      <c r="C36" t="s">
        <v>90</v>
      </c>
      <c r="D36" t="s">
        <v>91</v>
      </c>
      <c r="E36" s="7">
        <v>25218</v>
      </c>
    </row>
    <row r="37" spans="1:5" x14ac:dyDescent="0.55000000000000004">
      <c r="A37" t="s">
        <v>88</v>
      </c>
      <c r="B37" t="s">
        <v>89</v>
      </c>
      <c r="C37" t="s">
        <v>92</v>
      </c>
      <c r="D37" t="s">
        <v>93</v>
      </c>
      <c r="E37" s="7">
        <v>48828</v>
      </c>
    </row>
    <row r="38" spans="1:5" x14ac:dyDescent="0.55000000000000004">
      <c r="A38" t="s">
        <v>88</v>
      </c>
      <c r="B38" t="s">
        <v>89</v>
      </c>
      <c r="C38" t="s">
        <v>94</v>
      </c>
      <c r="D38" t="s">
        <v>95</v>
      </c>
      <c r="E38" s="7">
        <v>15000</v>
      </c>
    </row>
    <row r="39" spans="1:5" x14ac:dyDescent="0.55000000000000004">
      <c r="A39" t="s">
        <v>88</v>
      </c>
      <c r="B39" t="s">
        <v>89</v>
      </c>
      <c r="C39" t="s">
        <v>96</v>
      </c>
      <c r="D39" t="s">
        <v>97</v>
      </c>
      <c r="E39" s="7">
        <v>30000</v>
      </c>
    </row>
    <row r="40" spans="1:5" x14ac:dyDescent="0.55000000000000004">
      <c r="A40" t="s">
        <v>88</v>
      </c>
      <c r="B40" t="s">
        <v>89</v>
      </c>
      <c r="C40" t="s">
        <v>98</v>
      </c>
      <c r="D40" t="s">
        <v>99</v>
      </c>
      <c r="E40" s="7">
        <v>15600</v>
      </c>
    </row>
    <row r="41" spans="1:5" x14ac:dyDescent="0.55000000000000004">
      <c r="A41" t="s">
        <v>88</v>
      </c>
      <c r="B41" t="s">
        <v>89</v>
      </c>
      <c r="C41" t="s">
        <v>100</v>
      </c>
      <c r="D41" t="s">
        <v>101</v>
      </c>
      <c r="E41" s="7">
        <v>24000</v>
      </c>
    </row>
    <row r="42" spans="1:5" x14ac:dyDescent="0.55000000000000004">
      <c r="A42" t="s">
        <v>102</v>
      </c>
      <c r="B42" t="s">
        <v>103</v>
      </c>
      <c r="C42" t="s">
        <v>104</v>
      </c>
      <c r="D42" t="s">
        <v>105</v>
      </c>
      <c r="E42" s="7">
        <v>26850</v>
      </c>
    </row>
    <row r="43" spans="1:5" x14ac:dyDescent="0.55000000000000004">
      <c r="A43" t="s">
        <v>106</v>
      </c>
      <c r="B43" t="s">
        <v>107</v>
      </c>
      <c r="C43" t="s">
        <v>108</v>
      </c>
      <c r="D43" t="s">
        <v>109</v>
      </c>
      <c r="E43" s="7">
        <v>1530</v>
      </c>
    </row>
    <row r="44" spans="1:5" x14ac:dyDescent="0.55000000000000004">
      <c r="A44" t="s">
        <v>106</v>
      </c>
      <c r="B44" t="s">
        <v>107</v>
      </c>
      <c r="C44" t="s">
        <v>110</v>
      </c>
      <c r="D44" t="s">
        <v>111</v>
      </c>
      <c r="E44" s="7">
        <v>1125</v>
      </c>
    </row>
    <row r="46" spans="1:5" x14ac:dyDescent="0.55000000000000004">
      <c r="A46" s="2" t="s">
        <v>112</v>
      </c>
      <c r="E46" s="3">
        <f>SUM(Table1[People_Affected])</f>
        <v>1416678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32EF-D72B-4699-9399-F569233109B4}">
  <dimension ref="A3:B15"/>
  <sheetViews>
    <sheetView workbookViewId="0">
      <selection activeCell="E14" sqref="E14"/>
    </sheetView>
  </sheetViews>
  <sheetFormatPr defaultRowHeight="14.4" x14ac:dyDescent="0.55000000000000004"/>
  <cols>
    <col min="1" max="1" width="20.3671875" bestFit="1" customWidth="1"/>
    <col min="2" max="2" width="20" bestFit="1" customWidth="1"/>
    <col min="3" max="3" width="22.3125" bestFit="1" customWidth="1"/>
  </cols>
  <sheetData>
    <row r="3" spans="1:2" x14ac:dyDescent="0.55000000000000004">
      <c r="A3" s="4" t="s">
        <v>115</v>
      </c>
      <c r="B3" t="s">
        <v>114</v>
      </c>
    </row>
    <row r="4" spans="1:2" x14ac:dyDescent="0.55000000000000004">
      <c r="A4" s="5" t="s">
        <v>5</v>
      </c>
      <c r="B4" s="6">
        <v>24468</v>
      </c>
    </row>
    <row r="5" spans="1:2" x14ac:dyDescent="0.55000000000000004">
      <c r="A5" s="5" t="s">
        <v>8</v>
      </c>
      <c r="B5" s="6">
        <v>21823</v>
      </c>
    </row>
    <row r="6" spans="1:2" x14ac:dyDescent="0.55000000000000004">
      <c r="A6" s="5" t="s">
        <v>14</v>
      </c>
      <c r="B6" s="6">
        <v>18178</v>
      </c>
    </row>
    <row r="7" spans="1:2" x14ac:dyDescent="0.55000000000000004">
      <c r="A7" s="5" t="s">
        <v>18</v>
      </c>
      <c r="B7" s="6">
        <v>433323</v>
      </c>
    </row>
    <row r="8" spans="1:2" x14ac:dyDescent="0.55000000000000004">
      <c r="A8" s="5" t="s">
        <v>42</v>
      </c>
      <c r="B8" s="6">
        <v>145854</v>
      </c>
    </row>
    <row r="9" spans="1:2" x14ac:dyDescent="0.55000000000000004">
      <c r="A9" s="5" t="s">
        <v>48</v>
      </c>
      <c r="B9" s="6">
        <v>286308</v>
      </c>
    </row>
    <row r="10" spans="1:2" x14ac:dyDescent="0.55000000000000004">
      <c r="A10" s="5" t="s">
        <v>60</v>
      </c>
      <c r="B10" s="6">
        <v>199024</v>
      </c>
    </row>
    <row r="11" spans="1:2" x14ac:dyDescent="0.55000000000000004">
      <c r="A11" s="5" t="s">
        <v>76</v>
      </c>
      <c r="B11" s="6">
        <v>99549</v>
      </c>
    </row>
    <row r="12" spans="1:2" x14ac:dyDescent="0.55000000000000004">
      <c r="A12" s="5" t="s">
        <v>88</v>
      </c>
      <c r="B12" s="6">
        <v>158646</v>
      </c>
    </row>
    <row r="13" spans="1:2" x14ac:dyDescent="0.55000000000000004">
      <c r="A13" s="5" t="s">
        <v>102</v>
      </c>
      <c r="B13" s="6">
        <v>26850</v>
      </c>
    </row>
    <row r="14" spans="1:2" x14ac:dyDescent="0.55000000000000004">
      <c r="A14" s="5" t="s">
        <v>106</v>
      </c>
      <c r="B14" s="6">
        <v>2655</v>
      </c>
    </row>
    <row r="15" spans="1:2" x14ac:dyDescent="0.55000000000000004">
      <c r="A15" s="5" t="s">
        <v>113</v>
      </c>
      <c r="B15" s="6">
        <v>1416678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Floods_affected_People</vt:lpstr>
      <vt:lpstr>State_Summary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Ad Abeya</dc:creator>
  <cp:lastModifiedBy>Joseph Ad Abeya</cp:lastModifiedBy>
  <dcterms:created xsi:type="dcterms:W3CDTF">2024-12-19T09:07:15Z</dcterms:created>
  <dcterms:modified xsi:type="dcterms:W3CDTF">2024-12-27T08:36:21Z</dcterms:modified>
</cp:coreProperties>
</file>